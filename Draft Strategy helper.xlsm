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Draft/"/>
    </mc:Choice>
  </mc:AlternateContent>
  <xr:revisionPtr revIDLastSave="619" documentId="8_{3DA6CF77-AFF2-4ACF-B75C-CBB136AD319E}" xr6:coauthVersionLast="45" xr6:coauthVersionMax="45" xr10:uidLastSave="{2C5D28EC-89FD-4F3D-B589-6BAC2932524D}"/>
  <bookViews>
    <workbookView xWindow="22932" yWindow="-120" windowWidth="23256" windowHeight="12576" activeTab="2" xr2:uid="{200CE450-CE7F-4837-915D-D3A792B426EC}"/>
  </bookViews>
  <sheets>
    <sheet name="General Clustering" sheetId="1" r:id="rId1"/>
    <sheet name="Draft" sheetId="2" r:id="rId2"/>
    <sheet name="star" sheetId="5" r:id="rId3"/>
    <sheet name="starter" sheetId="4" r:id="rId4"/>
    <sheet name="FA" sheetId="3" r:id="rId5"/>
  </sheets>
  <definedNames>
    <definedName name="_xlnm._FilterDatabase" localSheetId="1" hidden="1">Draft!$A$2:$S$2</definedName>
    <definedName name="_xlnm._FilterDatabase" localSheetId="0" hidden="1">'General Clustering'!$V$3:$Y$3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  <c r="J5" i="2"/>
  <c r="J8" i="2"/>
  <c r="J7" i="2"/>
  <c r="J12" i="2"/>
  <c r="J10" i="2"/>
  <c r="J9" i="2"/>
  <c r="J6" i="2"/>
  <c r="J13" i="2"/>
  <c r="J11" i="2"/>
  <c r="J4" i="2"/>
  <c r="I4" i="2"/>
  <c r="K4" i="2"/>
  <c r="I5" i="2"/>
  <c r="K5" i="2"/>
  <c r="I7" i="2"/>
  <c r="K7" i="2"/>
  <c r="I8" i="2"/>
  <c r="K8" i="2"/>
  <c r="I6" i="2"/>
  <c r="K6" i="2"/>
  <c r="I12" i="2"/>
  <c r="K12" i="2"/>
  <c r="I13" i="2"/>
  <c r="K13" i="2"/>
  <c r="I9" i="2"/>
  <c r="K9" i="2"/>
  <c r="I11" i="2"/>
  <c r="K11" i="2"/>
  <c r="I10" i="2"/>
  <c r="K10" i="2"/>
  <c r="K3" i="2"/>
  <c r="I3" i="2"/>
  <c r="T7" i="1"/>
  <c r="T4" i="1"/>
  <c r="T5" i="1"/>
  <c r="T13" i="1"/>
  <c r="T6" i="1"/>
  <c r="T11" i="1"/>
  <c r="T12" i="1"/>
  <c r="T8" i="1"/>
  <c r="T10" i="1"/>
  <c r="T9" i="1"/>
  <c r="T3" i="1"/>
  <c r="S7" i="1"/>
  <c r="S4" i="1"/>
  <c r="S5" i="1"/>
  <c r="S13" i="1"/>
  <c r="S6" i="1"/>
  <c r="S11" i="1"/>
  <c r="S12" i="1"/>
  <c r="S8" i="1"/>
  <c r="S10" i="1"/>
  <c r="S9" i="1"/>
  <c r="S3" i="1"/>
  <c r="R7" i="1"/>
  <c r="R4" i="1"/>
  <c r="V4" i="1" s="1"/>
  <c r="R5" i="1"/>
  <c r="V5" i="1" s="1"/>
  <c r="R13" i="1"/>
  <c r="R6" i="1"/>
  <c r="R11" i="1"/>
  <c r="V11" i="1" s="1"/>
  <c r="R12" i="1"/>
  <c r="V12" i="1" s="1"/>
  <c r="R8" i="1"/>
  <c r="V8" i="1" s="1"/>
  <c r="R10" i="1"/>
  <c r="R9" i="1"/>
  <c r="V9" i="1" s="1"/>
  <c r="R3" i="1"/>
  <c r="V3" i="1" s="1"/>
  <c r="Q7" i="1"/>
  <c r="U7" i="1" s="1"/>
  <c r="Q4" i="1"/>
  <c r="U4" i="1" s="1"/>
  <c r="Q5" i="1"/>
  <c r="U5" i="1" s="1"/>
  <c r="Q13" i="1"/>
  <c r="Q6" i="1"/>
  <c r="U6" i="1" s="1"/>
  <c r="Q11" i="1"/>
  <c r="U11" i="1" s="1"/>
  <c r="Q12" i="1"/>
  <c r="U12" i="1" s="1"/>
  <c r="Q8" i="1"/>
  <c r="Q10" i="1"/>
  <c r="U10" i="1" s="1"/>
  <c r="Q9" i="1"/>
  <c r="U9" i="1" s="1"/>
  <c r="Q3" i="1"/>
  <c r="U3" i="1" s="1"/>
  <c r="V13" i="1" l="1"/>
  <c r="V10" i="1"/>
  <c r="V6" i="1"/>
  <c r="V7" i="1"/>
  <c r="U8" i="1"/>
  <c r="U13" i="1"/>
</calcChain>
</file>

<file path=xl/sharedStrings.xml><?xml version="1.0" encoding="utf-8"?>
<sst xmlns="http://schemas.openxmlformats.org/spreadsheetml/2006/main" count="103" uniqueCount="51">
  <si>
    <t>WAR</t>
  </si>
  <si>
    <t>Consistency</t>
  </si>
  <si>
    <t>FA available</t>
  </si>
  <si>
    <t>FA</t>
  </si>
  <si>
    <t>FA %</t>
  </si>
  <si>
    <t>Rookie Success</t>
  </si>
  <si>
    <t>Cap %</t>
  </si>
  <si>
    <t>MIN</t>
  </si>
  <si>
    <t>Mean</t>
  </si>
  <si>
    <t>Max</t>
  </si>
  <si>
    <t>Position</t>
  </si>
  <si>
    <t>WR</t>
  </si>
  <si>
    <t>TE</t>
  </si>
  <si>
    <t>HB</t>
  </si>
  <si>
    <t>CB</t>
  </si>
  <si>
    <t>LB</t>
  </si>
  <si>
    <t>S</t>
  </si>
  <si>
    <t>ED</t>
  </si>
  <si>
    <t>DI</t>
  </si>
  <si>
    <t xml:space="preserve">T </t>
  </si>
  <si>
    <t>G</t>
  </si>
  <si>
    <t xml:space="preserve">C </t>
  </si>
  <si>
    <t>Column1</t>
  </si>
  <si>
    <t>FA Star</t>
  </si>
  <si>
    <t>Rookie Deal</t>
  </si>
  <si>
    <t>Hit Rate</t>
  </si>
  <si>
    <t>Rank</t>
  </si>
  <si>
    <t>Density Peak</t>
  </si>
  <si>
    <t>Cap % Mid Increase</t>
  </si>
  <si>
    <t>Cap % Top Increase</t>
  </si>
  <si>
    <t>Development Curves</t>
  </si>
  <si>
    <t># Needed</t>
  </si>
  <si>
    <t>Starters</t>
  </si>
  <si>
    <t>Efficiency Peak</t>
  </si>
  <si>
    <t>Percent Peak</t>
  </si>
  <si>
    <t>Top</t>
  </si>
  <si>
    <t>Mid</t>
  </si>
  <si>
    <t>Low</t>
  </si>
  <si>
    <t>Top*max</t>
  </si>
  <si>
    <t>Mid*Mean</t>
  </si>
  <si>
    <t>Column2</t>
  </si>
  <si>
    <t>Norm</t>
  </si>
  <si>
    <t>Norm war</t>
  </si>
  <si>
    <t>Starter</t>
  </si>
  <si>
    <t>Star</t>
  </si>
  <si>
    <t>Averager</t>
  </si>
  <si>
    <t>1-3</t>
  </si>
  <si>
    <t>1-7</t>
  </si>
  <si>
    <t>Average</t>
  </si>
  <si>
    <t>4-7</t>
  </si>
  <si>
    <t>QB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</si>
</sst>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</font>
    <font>
      <b/>
      <sz val="12"/>
      <color theme="0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3" borderId="1" xfId="0" applyFont="1" applyFill="1" applyBorder="1"/>
    <xf numFmtId="0" fontId="0" fillId="0" borderId="1" xfId="0" applyFont="1" applyBorder="1"/>
    <xf numFmtId="0" fontId="0" fillId="4" borderId="0" xfId="0" applyFill="1"/>
    <xf numFmtId="0" fontId="0" fillId="0" borderId="0" xfId="0" applyFill="1"/>
    <xf numFmtId="2" fontId="0" fillId="0" borderId="0" xfId="0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B29CFB-4648-4595-8954-CE2AE6CF4348}" name="Table1" displayName="Table1" ref="A2:V13" totalsRowShown="0">
  <autoFilter ref="A2:V13" xr:uid="{FD8582D5-8439-410F-B533-55B09C20B0AA}"/>
  <sortState xmlns:xlrd2="http://schemas.microsoft.com/office/spreadsheetml/2017/richdata2" ref="A3:V13">
    <sortCondition descending="1" ref="C2:C13"/>
  </sortState>
  <tableColumns count="22">
    <tableColumn id="1" xr3:uid="{7DD79294-0FA2-4007-AD33-554F94ED4077}" name="Position"/>
    <tableColumn id="2" xr3:uid="{944D1F16-AF77-4F04-B2B9-188195DF7D41}" name="MIN"/>
    <tableColumn id="3" xr3:uid="{466992D0-B1D3-4BA8-9119-F5F1DBC9448B}" name="Mean" dataDxfId="7"/>
    <tableColumn id="4" xr3:uid="{C9052EF4-C3BE-4556-BEF7-6CB93CA67BD7}" name="Max" dataDxfId="6"/>
    <tableColumn id="14" xr3:uid="{FF906046-4F5B-419A-9F62-94E567BDAC5A}" name="# Needed"/>
    <tableColumn id="5" xr3:uid="{644FBFE0-0C3C-49D5-82B4-006AE9510CF7}" name="Consistency"/>
    <tableColumn id="6" xr3:uid="{B53980B5-4311-44EB-BD60-A6FBE01A6A0E}" name="FA available"/>
    <tableColumn id="10" xr3:uid="{019BDB1E-B2E8-4DD6-B14E-213712972C92}" name="FA Star"/>
    <tableColumn id="7" xr3:uid="{6642DB57-06C7-45CB-944F-BAEB10479621}" name="FA %"/>
    <tableColumn id="8" xr3:uid="{90BC3AD5-1372-4B7D-9AF3-978ADA73D28D}" name="Rookie Success"/>
    <tableColumn id="11" xr3:uid="{43EB696D-7759-4E86-A4C6-36492C1074A3}" name="Rookie Deal"/>
    <tableColumn id="13" xr3:uid="{3BB7A4F2-EDDE-498E-8751-0A770CC317A6}" name="Percent Peak"/>
    <tableColumn id="15" xr3:uid="{932F4A18-409B-48EC-A274-E3EA56C123DC}" name="Efficiency Peak"/>
    <tableColumn id="9" xr3:uid="{EB254649-1CAC-4FBF-ABA1-8CF19FD5CA45}" name="Top"/>
    <tableColumn id="16" xr3:uid="{14E6B709-DB8B-41D8-936C-E31A98DD8B9F}" name="Mid"/>
    <tableColumn id="17" xr3:uid="{0F05B634-5880-4934-B2A6-6F027FC0E160}" name="Low"/>
    <tableColumn id="20" xr3:uid="{63EFFC9F-7343-4C1C-AF6C-8C78AB623B64}" name="Norm" dataDxfId="5">
      <calculatedColumnFormula>Table1[[#This Row],[Mean]]/MAX(Table1[Mean])</calculatedColumnFormula>
    </tableColumn>
    <tableColumn id="21" xr3:uid="{9CAA74A9-FD48-41B3-A8C1-6F88D5EF32D6}" name="Norm war" dataDxfId="4">
      <calculatedColumnFormula>Table1[[#This Row],[Max]]/MAX(Table1[Max])</calculatedColumnFormula>
    </tableColumn>
    <tableColumn id="22" xr3:uid="{3DBF25A4-58A8-4C8E-8C7E-F93C608371D6}" name="Column1" dataDxfId="3">
      <calculatedColumnFormula>Table1[[#This Row],[Top]]/MAX(Table1[Top])</calculatedColumnFormula>
    </tableColumn>
    <tableColumn id="23" xr3:uid="{9A8064C9-A563-4DF8-A607-7394ED20294D}" name="Column2" dataDxfId="2">
      <calculatedColumnFormula>Table1[[#This Row],[Mid]]/MAX(Table1[Mid])</calculatedColumnFormula>
    </tableColumn>
    <tableColumn id="18" xr3:uid="{4B2D3A7C-7C3C-49EF-ABA7-09BE75716808}" name="Top*max" dataDxfId="1">
      <calculatedColumnFormula>Table1[[#This Row],[Norm]]*Table1[[#This Row],[Column2]]</calculatedColumnFormula>
    </tableColumn>
    <tableColumn id="19" xr3:uid="{CF3087E4-6757-43AE-99E9-F63122121EE5}" name="Mid*Mean" dataDxfId="0">
      <calculatedColumnFormula>Table1[[#This Row],[Norm war]]*Table1[[#This Row],[Column1]]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806C8-9BE5-4E4C-AC01-D37477623992}">
  <dimension ref="A1:V13"/>
  <sheetViews>
    <sheetView workbookViewId="0">
      <pane xSplit="1" topLeftCell="B1" activePane="topRight" state="frozen"/>
      <selection pane="topRight" activeCell="F13" sqref="F13"/>
    </sheetView>
  </sheetViews>
  <sheetFormatPr defaultRowHeight="15" x14ac:dyDescent="0.25"/>
  <cols>
    <col min="1" max="1" width="9.6328125" bestFit="1" customWidth="1"/>
    <col min="2" max="2" width="5.90625" bestFit="1" customWidth="1"/>
    <col min="3" max="3" width="7.26953125" bestFit="1" customWidth="1"/>
    <col min="4" max="4" width="6.1796875" bestFit="1" customWidth="1"/>
    <col min="5" max="5" width="10.6328125" bestFit="1" customWidth="1"/>
    <col min="6" max="6" width="13.26953125" bestFit="1" customWidth="1"/>
    <col min="7" max="7" width="12.90625" bestFit="1" customWidth="1"/>
    <col min="8" max="8" width="12.90625" customWidth="1"/>
    <col min="9" max="9" width="7" bestFit="1" customWidth="1"/>
    <col min="10" max="10" width="16.453125" bestFit="1" customWidth="1"/>
    <col min="11" max="11" width="16.453125" customWidth="1"/>
    <col min="12" max="13" width="11.08984375" customWidth="1"/>
    <col min="14" max="14" width="8.08984375" bestFit="1" customWidth="1"/>
    <col min="17" max="20" width="0" hidden="1" customWidth="1"/>
  </cols>
  <sheetData>
    <row r="1" spans="1:22" x14ac:dyDescent="0.25">
      <c r="B1" s="10" t="s">
        <v>0</v>
      </c>
      <c r="C1" s="10"/>
      <c r="D1" s="10"/>
      <c r="E1" s="1" t="s">
        <v>32</v>
      </c>
      <c r="G1" s="10" t="s">
        <v>3</v>
      </c>
      <c r="H1" s="10"/>
      <c r="I1" s="10"/>
      <c r="L1" s="10" t="s">
        <v>30</v>
      </c>
      <c r="M1" s="10"/>
      <c r="N1" s="10" t="s">
        <v>6</v>
      </c>
      <c r="O1" s="10"/>
      <c r="P1" s="10"/>
      <c r="Q1" s="1"/>
      <c r="R1" s="1"/>
      <c r="S1" s="1"/>
      <c r="T1" s="1"/>
    </row>
    <row r="2" spans="1:22" x14ac:dyDescent="0.25">
      <c r="A2" t="s">
        <v>10</v>
      </c>
      <c r="B2" t="s">
        <v>7</v>
      </c>
      <c r="C2" t="s">
        <v>8</v>
      </c>
      <c r="D2" t="s">
        <v>9</v>
      </c>
      <c r="E2" t="s">
        <v>31</v>
      </c>
      <c r="F2" t="s">
        <v>1</v>
      </c>
      <c r="G2" t="s">
        <v>2</v>
      </c>
      <c r="H2" t="s">
        <v>23</v>
      </c>
      <c r="I2" t="s">
        <v>4</v>
      </c>
      <c r="J2" t="s">
        <v>5</v>
      </c>
      <c r="K2" t="s">
        <v>24</v>
      </c>
      <c r="L2" t="s">
        <v>34</v>
      </c>
      <c r="M2" t="s">
        <v>33</v>
      </c>
      <c r="N2" t="s">
        <v>35</v>
      </c>
      <c r="O2" t="s">
        <v>36</v>
      </c>
      <c r="P2" t="s">
        <v>37</v>
      </c>
      <c r="Q2" t="s">
        <v>41</v>
      </c>
      <c r="R2" t="s">
        <v>42</v>
      </c>
      <c r="S2" t="s">
        <v>22</v>
      </c>
      <c r="T2" t="s">
        <v>40</v>
      </c>
      <c r="U2" s="7" t="s">
        <v>38</v>
      </c>
      <c r="V2" s="7" t="s">
        <v>39</v>
      </c>
    </row>
    <row r="3" spans="1:22" x14ac:dyDescent="0.25">
      <c r="A3" t="s">
        <v>13</v>
      </c>
      <c r="B3">
        <v>-5.0000000000000001E-3</v>
      </c>
      <c r="C3">
        <v>0.15</v>
      </c>
      <c r="D3">
        <v>0.3</v>
      </c>
      <c r="E3">
        <v>1</v>
      </c>
      <c r="F3">
        <v>0.28899999999999998</v>
      </c>
      <c r="G3">
        <v>9</v>
      </c>
      <c r="H3">
        <v>2</v>
      </c>
      <c r="I3">
        <v>15</v>
      </c>
      <c r="J3">
        <v>20</v>
      </c>
      <c r="K3">
        <v>55</v>
      </c>
      <c r="L3">
        <v>1</v>
      </c>
      <c r="M3">
        <v>1</v>
      </c>
      <c r="N3">
        <v>8.07</v>
      </c>
      <c r="O3">
        <v>2.52</v>
      </c>
      <c r="P3">
        <v>0.81</v>
      </c>
      <c r="Q3">
        <f>Table1[[#This Row],[Mean]]/MAX(Table1[Mean])</f>
        <v>1</v>
      </c>
      <c r="R3">
        <f>Table1[[#This Row],[Max]]/MAX(Table1[Max])</f>
        <v>0.3</v>
      </c>
      <c r="S3">
        <f>Table1[[#This Row],[Top]]/MAX(Table1[Top])</f>
        <v>0.58690909090909094</v>
      </c>
      <c r="T3">
        <f>Table1[[#This Row],[Mid]]/MAX(Table1[Mid])</f>
        <v>0.2937062937062937</v>
      </c>
      <c r="U3" s="7">
        <f>Table1[[#This Row],[Norm]]*Table1[[#This Row],[Column2]]</f>
        <v>0.2937062937062937</v>
      </c>
      <c r="V3" s="7">
        <f>Table1[[#This Row],[Norm war]]*Table1[[#This Row],[Column1]]</f>
        <v>0.17607272727272727</v>
      </c>
    </row>
    <row r="4" spans="1:22" x14ac:dyDescent="0.25">
      <c r="A4" t="s">
        <v>14</v>
      </c>
      <c r="B4">
        <v>-0.375</v>
      </c>
      <c r="C4">
        <v>0.125</v>
      </c>
      <c r="D4">
        <v>1</v>
      </c>
      <c r="E4" s="5">
        <v>3</v>
      </c>
      <c r="F4" s="5">
        <v>0.29699999999999999</v>
      </c>
      <c r="G4">
        <v>17</v>
      </c>
      <c r="H4">
        <v>2</v>
      </c>
      <c r="I4">
        <v>27.5</v>
      </c>
      <c r="J4">
        <v>12.5</v>
      </c>
      <c r="K4">
        <v>37.5</v>
      </c>
      <c r="L4">
        <v>2</v>
      </c>
      <c r="M4">
        <v>4</v>
      </c>
      <c r="N4">
        <v>10.09</v>
      </c>
      <c r="O4">
        <v>7.06</v>
      </c>
      <c r="P4">
        <v>2.6</v>
      </c>
      <c r="Q4">
        <f>Table1[[#This Row],[Mean]]/MAX(Table1[Mean])</f>
        <v>0.83333333333333337</v>
      </c>
      <c r="R4">
        <f>Table1[[#This Row],[Max]]/MAX(Table1[Max])</f>
        <v>1</v>
      </c>
      <c r="S4">
        <f>Table1[[#This Row],[Top]]/MAX(Table1[Top])</f>
        <v>0.73381818181818181</v>
      </c>
      <c r="T4">
        <f>Table1[[#This Row],[Mid]]/MAX(Table1[Mid])</f>
        <v>0.82284382284382274</v>
      </c>
      <c r="U4" s="7">
        <f>Table1[[#This Row],[Norm]]*Table1[[#This Row],[Column2]]</f>
        <v>0.68570318570318567</v>
      </c>
      <c r="V4" s="7">
        <f>Table1[[#This Row],[Norm war]]*Table1[[#This Row],[Column1]]</f>
        <v>0.73381818181818181</v>
      </c>
    </row>
    <row r="5" spans="1:22" x14ac:dyDescent="0.25">
      <c r="A5" t="s">
        <v>16</v>
      </c>
      <c r="B5">
        <v>-0.25</v>
      </c>
      <c r="C5">
        <v>0.125</v>
      </c>
      <c r="D5">
        <v>0.875</v>
      </c>
      <c r="E5">
        <v>2</v>
      </c>
      <c r="F5" s="6">
        <v>0.23799999999999999</v>
      </c>
      <c r="G5">
        <v>12</v>
      </c>
      <c r="H5">
        <v>3</v>
      </c>
      <c r="I5">
        <v>20</v>
      </c>
      <c r="J5">
        <v>5</v>
      </c>
      <c r="K5">
        <v>45</v>
      </c>
      <c r="L5">
        <v>2</v>
      </c>
      <c r="M5">
        <v>3</v>
      </c>
      <c r="N5">
        <v>6.6</v>
      </c>
      <c r="O5">
        <v>3.9</v>
      </c>
      <c r="P5">
        <v>2</v>
      </c>
      <c r="Q5">
        <f>Table1[[#This Row],[Mean]]/MAX(Table1[Mean])</f>
        <v>0.83333333333333337</v>
      </c>
      <c r="R5">
        <f>Table1[[#This Row],[Max]]/MAX(Table1[Max])</f>
        <v>0.875</v>
      </c>
      <c r="S5">
        <f>Table1[[#This Row],[Top]]/MAX(Table1[Top])</f>
        <v>0.48</v>
      </c>
      <c r="T5">
        <f>Table1[[#This Row],[Mid]]/MAX(Table1[Mid])</f>
        <v>0.45454545454545453</v>
      </c>
      <c r="U5" s="7">
        <f>Table1[[#This Row],[Norm]]*Table1[[#This Row],[Column2]]</f>
        <v>0.37878787878787878</v>
      </c>
      <c r="V5" s="7">
        <f>Table1[[#This Row],[Norm war]]*Table1[[#This Row],[Column1]]</f>
        <v>0.42</v>
      </c>
    </row>
    <row r="6" spans="1:22" x14ac:dyDescent="0.25">
      <c r="A6" t="s">
        <v>12</v>
      </c>
      <c r="B6">
        <v>-0.04</v>
      </c>
      <c r="C6">
        <v>0.125</v>
      </c>
      <c r="D6">
        <v>0.625</v>
      </c>
      <c r="E6">
        <v>1</v>
      </c>
      <c r="F6">
        <v>0.432</v>
      </c>
      <c r="G6">
        <v>7</v>
      </c>
      <c r="H6">
        <v>1</v>
      </c>
      <c r="I6">
        <v>12.5</v>
      </c>
      <c r="J6">
        <v>10</v>
      </c>
      <c r="K6">
        <v>35</v>
      </c>
      <c r="L6">
        <v>2</v>
      </c>
      <c r="M6">
        <v>1</v>
      </c>
      <c r="N6">
        <v>7.57</v>
      </c>
      <c r="O6">
        <v>3.78</v>
      </c>
      <c r="P6">
        <v>2.4</v>
      </c>
      <c r="Q6">
        <f>Table1[[#This Row],[Mean]]/MAX(Table1[Mean])</f>
        <v>0.83333333333333337</v>
      </c>
      <c r="R6">
        <f>Table1[[#This Row],[Max]]/MAX(Table1[Max])</f>
        <v>0.625</v>
      </c>
      <c r="S6">
        <f>Table1[[#This Row],[Top]]/MAX(Table1[Top])</f>
        <v>0.55054545454545456</v>
      </c>
      <c r="T6">
        <f>Table1[[#This Row],[Mid]]/MAX(Table1[Mid])</f>
        <v>0.44055944055944052</v>
      </c>
      <c r="U6" s="7">
        <f>Table1[[#This Row],[Norm]]*Table1[[#This Row],[Column2]]</f>
        <v>0.36713286713286714</v>
      </c>
      <c r="V6" s="7">
        <f>Table1[[#This Row],[Norm war]]*Table1[[#This Row],[Column1]]</f>
        <v>0.34409090909090911</v>
      </c>
    </row>
    <row r="7" spans="1:22" x14ac:dyDescent="0.25">
      <c r="A7" t="s">
        <v>11</v>
      </c>
      <c r="B7">
        <v>-0.2</v>
      </c>
      <c r="C7">
        <v>0.1</v>
      </c>
      <c r="D7">
        <v>1</v>
      </c>
      <c r="E7" s="5">
        <v>3</v>
      </c>
      <c r="F7" s="5">
        <v>0.504</v>
      </c>
      <c r="G7">
        <v>20</v>
      </c>
      <c r="H7">
        <v>4</v>
      </c>
      <c r="I7">
        <v>30</v>
      </c>
      <c r="J7">
        <v>10</v>
      </c>
      <c r="K7">
        <v>35</v>
      </c>
      <c r="L7">
        <v>2</v>
      </c>
      <c r="M7">
        <v>4</v>
      </c>
      <c r="N7">
        <v>13.75</v>
      </c>
      <c r="O7">
        <v>8.1999999999999993</v>
      </c>
      <c r="P7">
        <v>5.42</v>
      </c>
      <c r="Q7">
        <f>Table1[[#This Row],[Mean]]/MAX(Table1[Mean])</f>
        <v>0.66666666666666674</v>
      </c>
      <c r="R7">
        <f>Table1[[#This Row],[Max]]/MAX(Table1[Max])</f>
        <v>1</v>
      </c>
      <c r="S7">
        <f>Table1[[#This Row],[Top]]/MAX(Table1[Top])</f>
        <v>1</v>
      </c>
      <c r="T7">
        <f>Table1[[#This Row],[Mid]]/MAX(Table1[Mid])</f>
        <v>0.95571095571095566</v>
      </c>
      <c r="U7" s="7">
        <f>Table1[[#This Row],[Norm]]*Table1[[#This Row],[Column2]]</f>
        <v>0.63714063714063718</v>
      </c>
      <c r="V7" s="7">
        <f>Table1[[#This Row],[Norm war]]*Table1[[#This Row],[Column1]]</f>
        <v>1</v>
      </c>
    </row>
    <row r="8" spans="1:22" x14ac:dyDescent="0.25">
      <c r="A8" t="s">
        <v>15</v>
      </c>
      <c r="B8">
        <v>-0.125</v>
      </c>
      <c r="C8">
        <v>6.7500000000000004E-2</v>
      </c>
      <c r="D8">
        <v>0.375</v>
      </c>
      <c r="E8">
        <v>2</v>
      </c>
      <c r="F8" s="5">
        <v>0.40300000000000002</v>
      </c>
      <c r="G8">
        <v>8</v>
      </c>
      <c r="H8">
        <v>3</v>
      </c>
      <c r="I8">
        <v>12.5</v>
      </c>
      <c r="J8">
        <v>12.5</v>
      </c>
      <c r="K8">
        <v>50</v>
      </c>
      <c r="L8">
        <v>4</v>
      </c>
      <c r="M8">
        <v>1</v>
      </c>
      <c r="N8">
        <v>9.08</v>
      </c>
      <c r="O8">
        <v>3.66</v>
      </c>
      <c r="P8">
        <v>1.21</v>
      </c>
      <c r="Q8">
        <f>Table1[[#This Row],[Mean]]/MAX(Table1[Mean])</f>
        <v>0.45000000000000007</v>
      </c>
      <c r="R8">
        <f>Table1[[#This Row],[Max]]/MAX(Table1[Max])</f>
        <v>0.375</v>
      </c>
      <c r="S8">
        <f>Table1[[#This Row],[Top]]/MAX(Table1[Top])</f>
        <v>0.66036363636363637</v>
      </c>
      <c r="T8">
        <f>Table1[[#This Row],[Mid]]/MAX(Table1[Mid])</f>
        <v>0.42657342657342656</v>
      </c>
      <c r="U8" s="7">
        <f>Table1[[#This Row],[Norm]]*Table1[[#This Row],[Column2]]</f>
        <v>0.19195804195804198</v>
      </c>
      <c r="V8" s="7">
        <f>Table1[[#This Row],[Norm war]]*Table1[[#This Row],[Column1]]</f>
        <v>0.24763636363636365</v>
      </c>
    </row>
    <row r="9" spans="1:22" x14ac:dyDescent="0.25">
      <c r="A9" t="s">
        <v>21</v>
      </c>
      <c r="B9">
        <v>-0.25</v>
      </c>
      <c r="C9">
        <v>6.5000000000000002E-2</v>
      </c>
      <c r="D9">
        <v>0.4425</v>
      </c>
      <c r="E9">
        <v>1</v>
      </c>
      <c r="F9">
        <v>0.46500000000000002</v>
      </c>
      <c r="G9">
        <v>4</v>
      </c>
      <c r="H9">
        <v>1</v>
      </c>
      <c r="I9">
        <v>10</v>
      </c>
      <c r="J9">
        <v>10</v>
      </c>
      <c r="K9">
        <v>25</v>
      </c>
      <c r="L9">
        <v>3</v>
      </c>
      <c r="M9">
        <v>3</v>
      </c>
      <c r="N9">
        <v>6.31</v>
      </c>
      <c r="O9">
        <v>4.54</v>
      </c>
      <c r="P9">
        <v>3.41</v>
      </c>
      <c r="Q9">
        <f>Table1[[#This Row],[Mean]]/MAX(Table1[Mean])</f>
        <v>0.43333333333333335</v>
      </c>
      <c r="R9">
        <f>Table1[[#This Row],[Max]]/MAX(Table1[Max])</f>
        <v>0.4425</v>
      </c>
      <c r="S9">
        <f>Table1[[#This Row],[Top]]/MAX(Table1[Top])</f>
        <v>0.45890909090909088</v>
      </c>
      <c r="T9">
        <f>Table1[[#This Row],[Mid]]/MAX(Table1[Mid])</f>
        <v>0.52913752913752909</v>
      </c>
      <c r="U9" s="7">
        <f>Table1[[#This Row],[Norm]]*Table1[[#This Row],[Column2]]</f>
        <v>0.22929292929292927</v>
      </c>
      <c r="V9" s="7">
        <f>Table1[[#This Row],[Norm war]]*Table1[[#This Row],[Column1]]</f>
        <v>0.20306727272727271</v>
      </c>
    </row>
    <row r="10" spans="1:22" x14ac:dyDescent="0.25">
      <c r="A10" t="s">
        <v>20</v>
      </c>
      <c r="B10">
        <v>-0.25</v>
      </c>
      <c r="C10">
        <v>0.05</v>
      </c>
      <c r="D10">
        <v>0.4425</v>
      </c>
      <c r="E10">
        <v>2</v>
      </c>
      <c r="F10">
        <v>0.623</v>
      </c>
      <c r="G10">
        <v>10</v>
      </c>
      <c r="H10">
        <v>2</v>
      </c>
      <c r="I10">
        <v>15</v>
      </c>
      <c r="J10">
        <v>10</v>
      </c>
      <c r="K10">
        <v>35</v>
      </c>
      <c r="L10">
        <v>3</v>
      </c>
      <c r="M10">
        <v>3</v>
      </c>
      <c r="N10">
        <v>7.06</v>
      </c>
      <c r="O10">
        <v>5.05</v>
      </c>
      <c r="P10">
        <v>3.13</v>
      </c>
      <c r="Q10">
        <f>Table1[[#This Row],[Mean]]/MAX(Table1[Mean])</f>
        <v>0.33333333333333337</v>
      </c>
      <c r="R10">
        <f>Table1[[#This Row],[Max]]/MAX(Table1[Max])</f>
        <v>0.4425</v>
      </c>
      <c r="S10">
        <f>Table1[[#This Row],[Top]]/MAX(Table1[Top])</f>
        <v>0.51345454545454539</v>
      </c>
      <c r="T10">
        <f>Table1[[#This Row],[Mid]]/MAX(Table1[Mid])</f>
        <v>0.58857808857808858</v>
      </c>
      <c r="U10" s="7">
        <f>Table1[[#This Row],[Norm]]*Table1[[#This Row],[Column2]]</f>
        <v>0.19619269619269622</v>
      </c>
      <c r="V10" s="7">
        <f>Table1[[#This Row],[Norm war]]*Table1[[#This Row],[Column1]]</f>
        <v>0.22720363636363633</v>
      </c>
    </row>
    <row r="11" spans="1:22" x14ac:dyDescent="0.25">
      <c r="A11" t="s">
        <v>19</v>
      </c>
      <c r="B11">
        <v>-0.25</v>
      </c>
      <c r="C11">
        <v>0.04</v>
      </c>
      <c r="D11">
        <v>0.4425</v>
      </c>
      <c r="E11">
        <v>2</v>
      </c>
      <c r="F11">
        <v>0.55000000000000004</v>
      </c>
      <c r="G11">
        <v>10</v>
      </c>
      <c r="H11">
        <v>2</v>
      </c>
      <c r="I11">
        <v>12.5</v>
      </c>
      <c r="J11">
        <v>5</v>
      </c>
      <c r="K11">
        <v>45</v>
      </c>
      <c r="L11">
        <v>4</v>
      </c>
      <c r="M11">
        <v>4</v>
      </c>
      <c r="N11">
        <v>10</v>
      </c>
      <c r="O11">
        <v>6.6</v>
      </c>
      <c r="P11">
        <v>2.5</v>
      </c>
      <c r="Q11">
        <f>Table1[[#This Row],[Mean]]/MAX(Table1[Mean])</f>
        <v>0.26666666666666666</v>
      </c>
      <c r="R11">
        <f>Table1[[#This Row],[Max]]/MAX(Table1[Max])</f>
        <v>0.4425</v>
      </c>
      <c r="S11">
        <f>Table1[[#This Row],[Top]]/MAX(Table1[Top])</f>
        <v>0.72727272727272729</v>
      </c>
      <c r="T11">
        <f>Table1[[#This Row],[Mid]]/MAX(Table1[Mid])</f>
        <v>0.76923076923076916</v>
      </c>
      <c r="U11" s="7">
        <f>Table1[[#This Row],[Norm]]*Table1[[#This Row],[Column2]]</f>
        <v>0.20512820512820509</v>
      </c>
      <c r="V11" s="7">
        <f>Table1[[#This Row],[Norm war]]*Table1[[#This Row],[Column1]]</f>
        <v>0.32181818181818184</v>
      </c>
    </row>
    <row r="12" spans="1:22" x14ac:dyDescent="0.25">
      <c r="A12" t="s">
        <v>18</v>
      </c>
      <c r="B12">
        <v>-0.2</v>
      </c>
      <c r="C12">
        <v>2.5000000000000001E-2</v>
      </c>
      <c r="D12">
        <v>0.375</v>
      </c>
      <c r="E12">
        <v>2</v>
      </c>
      <c r="F12" s="5">
        <v>0.56999999999999995</v>
      </c>
      <c r="G12">
        <v>18</v>
      </c>
      <c r="H12">
        <v>5</v>
      </c>
      <c r="I12">
        <v>25</v>
      </c>
      <c r="J12">
        <v>7.5</v>
      </c>
      <c r="K12">
        <v>45</v>
      </c>
      <c r="L12">
        <v>2</v>
      </c>
      <c r="M12">
        <v>2</v>
      </c>
      <c r="N12">
        <v>11.35</v>
      </c>
      <c r="O12">
        <v>6.69</v>
      </c>
      <c r="P12">
        <v>3.13</v>
      </c>
      <c r="Q12">
        <f>Table1[[#This Row],[Mean]]/MAX(Table1[Mean])</f>
        <v>0.16666666666666669</v>
      </c>
      <c r="R12">
        <f>Table1[[#This Row],[Max]]/MAX(Table1[Max])</f>
        <v>0.375</v>
      </c>
      <c r="S12">
        <f>Table1[[#This Row],[Top]]/MAX(Table1[Top])</f>
        <v>0.82545454545454544</v>
      </c>
      <c r="T12">
        <f>Table1[[#This Row],[Mid]]/MAX(Table1[Mid])</f>
        <v>0.7797202797202798</v>
      </c>
      <c r="U12" s="7">
        <f>Table1[[#This Row],[Norm]]*Table1[[#This Row],[Column2]]</f>
        <v>0.12995337995337999</v>
      </c>
      <c r="V12" s="7">
        <f>Table1[[#This Row],[Norm war]]*Table1[[#This Row],[Column1]]</f>
        <v>0.30954545454545457</v>
      </c>
    </row>
    <row r="13" spans="1:22" x14ac:dyDescent="0.25">
      <c r="A13" t="s">
        <v>17</v>
      </c>
      <c r="B13">
        <v>-0.2</v>
      </c>
      <c r="C13">
        <v>1.4999999999999999E-2</v>
      </c>
      <c r="D13">
        <v>0.4</v>
      </c>
      <c r="E13">
        <v>2</v>
      </c>
      <c r="F13" s="6">
        <v>0.50600000000000001</v>
      </c>
      <c r="G13">
        <v>15</v>
      </c>
      <c r="H13">
        <v>3</v>
      </c>
      <c r="I13">
        <v>27.5</v>
      </c>
      <c r="J13">
        <v>5</v>
      </c>
      <c r="K13">
        <v>40</v>
      </c>
      <c r="L13">
        <v>4</v>
      </c>
      <c r="M13">
        <v>4</v>
      </c>
      <c r="N13">
        <v>13.62</v>
      </c>
      <c r="O13">
        <v>8.58</v>
      </c>
      <c r="P13">
        <v>6.56</v>
      </c>
      <c r="Q13">
        <f>Table1[[#This Row],[Mean]]/MAX(Table1[Mean])</f>
        <v>0.1</v>
      </c>
      <c r="R13">
        <f>Table1[[#This Row],[Max]]/MAX(Table1[Max])</f>
        <v>0.4</v>
      </c>
      <c r="S13">
        <f>Table1[[#This Row],[Top]]/MAX(Table1[Top])</f>
        <v>0.99054545454545451</v>
      </c>
      <c r="T13">
        <f>Table1[[#This Row],[Mid]]/MAX(Table1[Mid])</f>
        <v>1</v>
      </c>
      <c r="U13" s="7">
        <f>Table1[[#This Row],[Norm]]*Table1[[#This Row],[Column2]]</f>
        <v>0.1</v>
      </c>
      <c r="V13" s="7">
        <f>Table1[[#This Row],[Norm war]]*Table1[[#This Row],[Column1]]</f>
        <v>0.3962181818181818</v>
      </c>
    </row>
  </sheetData>
  <mergeCells count="4">
    <mergeCell ref="G1:I1"/>
    <mergeCell ref="B1:D1"/>
    <mergeCell ref="L1:M1"/>
    <mergeCell ref="N1:P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B7778-8D64-49C8-B77C-F6C36EAAA104}">
  <dimension ref="A1:S13"/>
  <sheetViews>
    <sheetView workbookViewId="0">
      <selection activeCell="D28" sqref="D28"/>
    </sheetView>
  </sheetViews>
  <sheetFormatPr defaultRowHeight="15" x14ac:dyDescent="0.25"/>
  <cols>
    <col min="2" max="2" width="8.7265625" customWidth="1"/>
    <col min="12" max="12" width="11.36328125" bestFit="1" customWidth="1"/>
  </cols>
  <sheetData>
    <row r="1" spans="1:19" x14ac:dyDescent="0.25">
      <c r="B1" t="s">
        <v>25</v>
      </c>
      <c r="C1" t="s">
        <v>43</v>
      </c>
      <c r="I1" s="8" t="s">
        <v>46</v>
      </c>
      <c r="J1" s="8" t="s">
        <v>49</v>
      </c>
      <c r="K1" s="9" t="s">
        <v>47</v>
      </c>
      <c r="L1" t="s">
        <v>25</v>
      </c>
      <c r="M1" t="s">
        <v>44</v>
      </c>
      <c r="S1" t="s">
        <v>26</v>
      </c>
    </row>
    <row r="2" spans="1:19" ht="15.6" x14ac:dyDescent="0.3">
      <c r="A2" s="2" t="s">
        <v>10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 t="s">
        <v>45</v>
      </c>
      <c r="J2" t="s">
        <v>48</v>
      </c>
      <c r="K2" t="s">
        <v>48</v>
      </c>
      <c r="L2">
        <v>1</v>
      </c>
      <c r="M2">
        <v>2</v>
      </c>
      <c r="N2">
        <v>3</v>
      </c>
      <c r="O2">
        <v>4</v>
      </c>
      <c r="P2">
        <v>5</v>
      </c>
      <c r="Q2">
        <v>6</v>
      </c>
      <c r="R2">
        <v>7</v>
      </c>
      <c r="S2" t="s">
        <v>27</v>
      </c>
    </row>
    <row r="3" spans="1:19" x14ac:dyDescent="0.25">
      <c r="A3" s="4" t="s">
        <v>12</v>
      </c>
      <c r="B3">
        <v>100</v>
      </c>
      <c r="C3">
        <v>100</v>
      </c>
      <c r="D3">
        <v>100</v>
      </c>
      <c r="E3">
        <v>50</v>
      </c>
      <c r="F3">
        <v>65</v>
      </c>
      <c r="G3">
        <v>25</v>
      </c>
      <c r="H3">
        <v>25</v>
      </c>
      <c r="I3">
        <f t="shared" ref="I3:I13" si="0">AVERAGE(B3:D3)</f>
        <v>100</v>
      </c>
      <c r="J3">
        <f t="shared" ref="J3:J13" si="1">AVERAGE(E3:H3)</f>
        <v>41.25</v>
      </c>
      <c r="K3">
        <f t="shared" ref="K3:K13" si="2">AVERAGE(B3:H3)</f>
        <v>66.428571428571431</v>
      </c>
      <c r="L3">
        <v>100</v>
      </c>
      <c r="M3">
        <v>100</v>
      </c>
      <c r="N3">
        <v>50</v>
      </c>
      <c r="O3">
        <v>50</v>
      </c>
      <c r="P3">
        <v>25</v>
      </c>
      <c r="Q3">
        <v>25</v>
      </c>
      <c r="R3">
        <v>0</v>
      </c>
    </row>
    <row r="4" spans="1:19" x14ac:dyDescent="0.25">
      <c r="A4" s="3" t="s">
        <v>13</v>
      </c>
      <c r="B4">
        <v>100</v>
      </c>
      <c r="C4">
        <v>100</v>
      </c>
      <c r="D4">
        <v>80</v>
      </c>
      <c r="E4">
        <v>65</v>
      </c>
      <c r="F4">
        <v>100</v>
      </c>
      <c r="G4">
        <v>50</v>
      </c>
      <c r="H4">
        <v>35</v>
      </c>
      <c r="I4">
        <f t="shared" si="0"/>
        <v>93.333333333333329</v>
      </c>
      <c r="J4">
        <f t="shared" si="1"/>
        <v>62.5</v>
      </c>
      <c r="K4">
        <f t="shared" si="2"/>
        <v>75.714285714285708</v>
      </c>
      <c r="L4">
        <v>50</v>
      </c>
      <c r="M4">
        <v>50</v>
      </c>
      <c r="N4">
        <v>37.5</v>
      </c>
      <c r="O4">
        <v>10</v>
      </c>
      <c r="P4">
        <v>37.5</v>
      </c>
      <c r="Q4">
        <v>25</v>
      </c>
      <c r="R4">
        <v>25</v>
      </c>
    </row>
    <row r="5" spans="1:19" x14ac:dyDescent="0.25">
      <c r="A5" s="4" t="s">
        <v>14</v>
      </c>
      <c r="B5">
        <v>100</v>
      </c>
      <c r="C5">
        <v>100</v>
      </c>
      <c r="D5">
        <v>75</v>
      </c>
      <c r="E5">
        <v>50</v>
      </c>
      <c r="F5">
        <v>50</v>
      </c>
      <c r="G5">
        <v>40</v>
      </c>
      <c r="H5">
        <v>40</v>
      </c>
      <c r="I5">
        <f t="shared" si="0"/>
        <v>91.666666666666671</v>
      </c>
      <c r="J5">
        <f t="shared" si="1"/>
        <v>45</v>
      </c>
      <c r="K5">
        <f t="shared" si="2"/>
        <v>65</v>
      </c>
      <c r="L5">
        <v>37.5</v>
      </c>
      <c r="M5">
        <v>37.5</v>
      </c>
      <c r="N5">
        <v>25</v>
      </c>
      <c r="O5">
        <v>20</v>
      </c>
      <c r="P5">
        <v>20</v>
      </c>
      <c r="Q5">
        <v>25</v>
      </c>
      <c r="R5">
        <v>25</v>
      </c>
    </row>
    <row r="6" spans="1:19" x14ac:dyDescent="0.25">
      <c r="A6" s="3" t="s">
        <v>19</v>
      </c>
      <c r="B6">
        <v>100</v>
      </c>
      <c r="C6">
        <v>80</v>
      </c>
      <c r="D6">
        <v>50</v>
      </c>
      <c r="E6">
        <v>30</v>
      </c>
      <c r="F6">
        <v>20</v>
      </c>
      <c r="G6">
        <v>20</v>
      </c>
      <c r="H6">
        <v>30</v>
      </c>
      <c r="I6">
        <f t="shared" si="0"/>
        <v>76.666666666666671</v>
      </c>
      <c r="J6">
        <f t="shared" si="1"/>
        <v>25</v>
      </c>
      <c r="K6">
        <f t="shared" si="2"/>
        <v>47.142857142857146</v>
      </c>
      <c r="L6">
        <v>45</v>
      </c>
      <c r="M6">
        <v>50</v>
      </c>
      <c r="N6">
        <v>45</v>
      </c>
      <c r="O6">
        <v>30</v>
      </c>
      <c r="P6">
        <v>30</v>
      </c>
      <c r="Q6">
        <v>15</v>
      </c>
      <c r="R6">
        <v>10</v>
      </c>
    </row>
    <row r="7" spans="1:19" x14ac:dyDescent="0.25">
      <c r="A7" s="3" t="s">
        <v>11</v>
      </c>
      <c r="B7">
        <v>100</v>
      </c>
      <c r="C7">
        <v>75</v>
      </c>
      <c r="D7">
        <v>50</v>
      </c>
      <c r="E7">
        <v>50</v>
      </c>
      <c r="F7">
        <v>37.5</v>
      </c>
      <c r="G7">
        <v>37.5</v>
      </c>
      <c r="H7">
        <v>20</v>
      </c>
      <c r="I7">
        <f t="shared" si="0"/>
        <v>75</v>
      </c>
      <c r="J7">
        <f t="shared" si="1"/>
        <v>36.25</v>
      </c>
      <c r="K7">
        <f t="shared" si="2"/>
        <v>52.857142857142854</v>
      </c>
      <c r="L7">
        <v>37.5</v>
      </c>
      <c r="M7">
        <v>30</v>
      </c>
      <c r="N7">
        <v>375</v>
      </c>
      <c r="O7">
        <v>37.5</v>
      </c>
      <c r="P7">
        <v>37.5</v>
      </c>
      <c r="Q7">
        <v>20</v>
      </c>
      <c r="R7">
        <v>10</v>
      </c>
    </row>
    <row r="8" spans="1:19" x14ac:dyDescent="0.25">
      <c r="A8" s="4" t="s">
        <v>18</v>
      </c>
      <c r="B8">
        <v>100</v>
      </c>
      <c r="C8">
        <v>65</v>
      </c>
      <c r="D8">
        <v>50</v>
      </c>
      <c r="E8">
        <v>50</v>
      </c>
      <c r="F8">
        <v>50</v>
      </c>
      <c r="G8">
        <v>45</v>
      </c>
      <c r="H8">
        <v>37.5</v>
      </c>
      <c r="I8">
        <f t="shared" si="0"/>
        <v>71.666666666666671</v>
      </c>
      <c r="J8">
        <f t="shared" si="1"/>
        <v>45.625</v>
      </c>
      <c r="K8">
        <f t="shared" si="2"/>
        <v>56.785714285714285</v>
      </c>
      <c r="L8">
        <v>60</v>
      </c>
      <c r="M8">
        <v>30</v>
      </c>
      <c r="N8">
        <v>25</v>
      </c>
      <c r="O8">
        <v>25</v>
      </c>
      <c r="P8">
        <v>30</v>
      </c>
      <c r="Q8">
        <v>15</v>
      </c>
      <c r="R8">
        <v>15</v>
      </c>
    </row>
    <row r="9" spans="1:19" x14ac:dyDescent="0.25">
      <c r="A9" s="4" t="s">
        <v>15</v>
      </c>
      <c r="B9">
        <v>90</v>
      </c>
      <c r="C9">
        <v>80</v>
      </c>
      <c r="D9">
        <v>37.5</v>
      </c>
      <c r="E9">
        <v>50</v>
      </c>
      <c r="F9">
        <v>37.5</v>
      </c>
      <c r="G9">
        <v>25</v>
      </c>
      <c r="H9">
        <v>25</v>
      </c>
      <c r="I9">
        <f t="shared" si="0"/>
        <v>69.166666666666671</v>
      </c>
      <c r="J9">
        <f t="shared" si="1"/>
        <v>34.375</v>
      </c>
      <c r="K9">
        <f t="shared" si="2"/>
        <v>49.285714285714285</v>
      </c>
      <c r="L9">
        <v>50</v>
      </c>
      <c r="M9">
        <v>25</v>
      </c>
      <c r="N9">
        <v>20</v>
      </c>
      <c r="O9">
        <v>25</v>
      </c>
      <c r="P9">
        <v>25</v>
      </c>
      <c r="Q9">
        <v>20</v>
      </c>
      <c r="R9">
        <v>10</v>
      </c>
    </row>
    <row r="10" spans="1:19" x14ac:dyDescent="0.25">
      <c r="A10" s="3" t="s">
        <v>21</v>
      </c>
      <c r="B10">
        <v>100</v>
      </c>
      <c r="C10">
        <v>80</v>
      </c>
      <c r="D10">
        <v>25</v>
      </c>
      <c r="E10">
        <v>50</v>
      </c>
      <c r="F10">
        <v>25</v>
      </c>
      <c r="G10">
        <v>25</v>
      </c>
      <c r="H10">
        <v>50</v>
      </c>
      <c r="I10">
        <f t="shared" si="0"/>
        <v>68.333333333333329</v>
      </c>
      <c r="J10">
        <f t="shared" si="1"/>
        <v>37.5</v>
      </c>
      <c r="K10">
        <f t="shared" si="2"/>
        <v>50.714285714285715</v>
      </c>
      <c r="L10">
        <v>100</v>
      </c>
      <c r="M10">
        <v>100</v>
      </c>
      <c r="N10">
        <v>37.5</v>
      </c>
      <c r="O10">
        <v>37.5</v>
      </c>
      <c r="P10">
        <v>37.5</v>
      </c>
      <c r="Q10">
        <v>50</v>
      </c>
      <c r="R10">
        <v>25</v>
      </c>
    </row>
    <row r="11" spans="1:19" x14ac:dyDescent="0.25">
      <c r="A11" s="3" t="s">
        <v>16</v>
      </c>
      <c r="B11">
        <v>100</v>
      </c>
      <c r="C11">
        <v>80</v>
      </c>
      <c r="D11">
        <v>25</v>
      </c>
      <c r="E11">
        <v>37.5</v>
      </c>
      <c r="F11">
        <v>25</v>
      </c>
      <c r="G11">
        <v>30</v>
      </c>
      <c r="H11">
        <v>20</v>
      </c>
      <c r="I11">
        <f t="shared" si="0"/>
        <v>68.333333333333329</v>
      </c>
      <c r="J11">
        <f t="shared" si="1"/>
        <v>28.125</v>
      </c>
      <c r="K11">
        <f t="shared" si="2"/>
        <v>45.357142857142854</v>
      </c>
      <c r="L11">
        <v>50</v>
      </c>
      <c r="M11">
        <v>37.5</v>
      </c>
      <c r="N11">
        <v>37.5</v>
      </c>
      <c r="O11">
        <v>25</v>
      </c>
      <c r="P11">
        <v>20</v>
      </c>
      <c r="Q11">
        <v>10</v>
      </c>
      <c r="R11">
        <v>10</v>
      </c>
    </row>
    <row r="12" spans="1:19" x14ac:dyDescent="0.25">
      <c r="A12" s="4" t="s">
        <v>20</v>
      </c>
      <c r="B12">
        <v>100</v>
      </c>
      <c r="C12">
        <v>50</v>
      </c>
      <c r="D12">
        <v>50</v>
      </c>
      <c r="E12">
        <v>50</v>
      </c>
      <c r="F12">
        <v>37.5</v>
      </c>
      <c r="G12">
        <v>30</v>
      </c>
      <c r="H12">
        <v>50</v>
      </c>
      <c r="I12">
        <f t="shared" si="0"/>
        <v>66.666666666666671</v>
      </c>
      <c r="J12">
        <f t="shared" si="1"/>
        <v>41.875</v>
      </c>
      <c r="K12">
        <f t="shared" si="2"/>
        <v>52.5</v>
      </c>
      <c r="L12">
        <v>40</v>
      </c>
      <c r="M12">
        <v>40</v>
      </c>
      <c r="N12">
        <v>37.5</v>
      </c>
      <c r="O12">
        <v>25</v>
      </c>
      <c r="P12">
        <v>25</v>
      </c>
      <c r="Q12">
        <v>20</v>
      </c>
      <c r="R12">
        <v>15</v>
      </c>
    </row>
    <row r="13" spans="1:19" x14ac:dyDescent="0.25">
      <c r="A13" s="3" t="s">
        <v>17</v>
      </c>
      <c r="B13">
        <v>80</v>
      </c>
      <c r="C13">
        <v>60</v>
      </c>
      <c r="D13">
        <v>45</v>
      </c>
      <c r="E13">
        <v>50</v>
      </c>
      <c r="F13">
        <v>37.5</v>
      </c>
      <c r="G13">
        <v>25</v>
      </c>
      <c r="H13">
        <v>25</v>
      </c>
      <c r="I13">
        <f t="shared" si="0"/>
        <v>61.666666666666664</v>
      </c>
      <c r="J13">
        <f t="shared" si="1"/>
        <v>34.375</v>
      </c>
      <c r="K13">
        <f t="shared" si="2"/>
        <v>46.071428571428569</v>
      </c>
      <c r="L13">
        <v>45</v>
      </c>
      <c r="M13">
        <v>30</v>
      </c>
      <c r="N13">
        <v>30</v>
      </c>
      <c r="O13">
        <v>25</v>
      </c>
      <c r="P13">
        <v>37.5</v>
      </c>
      <c r="Q13">
        <v>10</v>
      </c>
      <c r="R13">
        <v>37.5</v>
      </c>
    </row>
  </sheetData>
  <autoFilter ref="A2:S2" xr:uid="{26C60E7D-5CDF-4388-8555-EED68E572050}">
    <sortState xmlns:xlrd2="http://schemas.microsoft.com/office/spreadsheetml/2017/richdata2" ref="A3:S13">
      <sortCondition descending="1" ref="I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2F0D-9DC0-4F1E-A344-457056FC1367}">
  <dimension ref="A1:H13"/>
  <sheetViews>
    <sheetView tabSelected="1" workbookViewId="0">
      <selection activeCell="C3" sqref="C3"/>
    </sheetView>
  </sheetViews>
  <sheetFormatPr defaultRowHeight="15" x14ac:dyDescent="0.25"/>
  <sheetData>
    <row r="1" spans="1:8" ht="15.6" x14ac:dyDescent="0.3">
      <c r="A1" s="2" t="s">
        <v>10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ht="15.6" x14ac:dyDescent="0.3">
      <c r="A2" s="2" t="s">
        <v>50</v>
      </c>
      <c r="B2">
        <v>0.5</v>
      </c>
      <c r="C2">
        <v>0.05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25">
      <c r="A3" s="4" t="s">
        <v>12</v>
      </c>
      <c r="B3">
        <v>1</v>
      </c>
      <c r="C3">
        <v>1</v>
      </c>
      <c r="D3">
        <v>0.5</v>
      </c>
      <c r="E3">
        <v>0.5</v>
      </c>
      <c r="F3">
        <v>0.25</v>
      </c>
      <c r="G3">
        <v>0.25</v>
      </c>
      <c r="H3">
        <v>0</v>
      </c>
    </row>
    <row r="4" spans="1:8" x14ac:dyDescent="0.25">
      <c r="A4" s="3" t="s">
        <v>13</v>
      </c>
      <c r="B4">
        <v>0.5</v>
      </c>
      <c r="C4">
        <v>0.5</v>
      </c>
      <c r="D4">
        <v>0.375</v>
      </c>
      <c r="E4">
        <v>0.1</v>
      </c>
      <c r="F4">
        <v>0.375</v>
      </c>
      <c r="G4">
        <v>0.25</v>
      </c>
      <c r="H4">
        <v>0.25</v>
      </c>
    </row>
    <row r="5" spans="1:8" x14ac:dyDescent="0.25">
      <c r="A5" s="4" t="s">
        <v>14</v>
      </c>
      <c r="B5">
        <v>0.375</v>
      </c>
      <c r="C5">
        <v>0.375</v>
      </c>
      <c r="D5">
        <v>0.25</v>
      </c>
      <c r="E5">
        <v>0.2</v>
      </c>
      <c r="F5">
        <v>0.2</v>
      </c>
      <c r="G5">
        <v>0.25</v>
      </c>
      <c r="H5">
        <v>0.25</v>
      </c>
    </row>
    <row r="6" spans="1:8" x14ac:dyDescent="0.25">
      <c r="A6" s="3" t="s">
        <v>19</v>
      </c>
      <c r="B6">
        <v>0.45</v>
      </c>
      <c r="C6">
        <v>0.5</v>
      </c>
      <c r="D6">
        <v>0.45</v>
      </c>
      <c r="E6">
        <v>0.3</v>
      </c>
      <c r="F6">
        <v>0.3</v>
      </c>
      <c r="G6">
        <v>0.15</v>
      </c>
      <c r="H6">
        <v>0.1</v>
      </c>
    </row>
    <row r="7" spans="1:8" x14ac:dyDescent="0.25">
      <c r="A7" s="3" t="s">
        <v>11</v>
      </c>
      <c r="B7">
        <v>0.375</v>
      </c>
      <c r="C7">
        <v>0.3</v>
      </c>
      <c r="D7">
        <v>3.75</v>
      </c>
      <c r="E7">
        <v>0.375</v>
      </c>
      <c r="F7">
        <v>0.375</v>
      </c>
      <c r="G7">
        <v>0.2</v>
      </c>
      <c r="H7">
        <v>0.1</v>
      </c>
    </row>
    <row r="8" spans="1:8" x14ac:dyDescent="0.25">
      <c r="A8" s="4" t="s">
        <v>18</v>
      </c>
      <c r="B8">
        <v>0.6</v>
      </c>
      <c r="C8">
        <v>0.3</v>
      </c>
      <c r="D8">
        <v>0.25</v>
      </c>
      <c r="E8">
        <v>0.25</v>
      </c>
      <c r="F8">
        <v>0.3</v>
      </c>
      <c r="G8">
        <v>0.15</v>
      </c>
      <c r="H8">
        <v>0.15</v>
      </c>
    </row>
    <row r="9" spans="1:8" x14ac:dyDescent="0.25">
      <c r="A9" s="4" t="s">
        <v>15</v>
      </c>
      <c r="B9">
        <v>0.5</v>
      </c>
      <c r="C9">
        <v>0.25</v>
      </c>
      <c r="D9">
        <v>0.2</v>
      </c>
      <c r="E9">
        <v>0.25</v>
      </c>
      <c r="F9">
        <v>0.25</v>
      </c>
      <c r="G9">
        <v>0.2</v>
      </c>
      <c r="H9">
        <v>0.1</v>
      </c>
    </row>
    <row r="10" spans="1:8" x14ac:dyDescent="0.25">
      <c r="A10" s="3" t="s">
        <v>21</v>
      </c>
      <c r="B10">
        <v>1</v>
      </c>
      <c r="C10">
        <v>1</v>
      </c>
      <c r="D10">
        <v>0.375</v>
      </c>
      <c r="E10">
        <v>0.375</v>
      </c>
      <c r="F10">
        <v>0.375</v>
      </c>
      <c r="G10">
        <v>0.5</v>
      </c>
      <c r="H10">
        <v>0.25</v>
      </c>
    </row>
    <row r="11" spans="1:8" x14ac:dyDescent="0.25">
      <c r="A11" s="3" t="s">
        <v>16</v>
      </c>
      <c r="B11">
        <v>0.5</v>
      </c>
      <c r="C11">
        <v>0.375</v>
      </c>
      <c r="D11">
        <v>0.375</v>
      </c>
      <c r="E11">
        <v>0.25</v>
      </c>
      <c r="F11">
        <v>0.2</v>
      </c>
      <c r="G11">
        <v>0.1</v>
      </c>
      <c r="H11">
        <v>0.1</v>
      </c>
    </row>
    <row r="12" spans="1:8" x14ac:dyDescent="0.25">
      <c r="A12" s="4" t="s">
        <v>20</v>
      </c>
      <c r="B12">
        <v>0.4</v>
      </c>
      <c r="C12">
        <v>0.4</v>
      </c>
      <c r="D12">
        <v>0.375</v>
      </c>
      <c r="E12">
        <v>0.25</v>
      </c>
      <c r="F12">
        <v>0.25</v>
      </c>
      <c r="G12">
        <v>0.2</v>
      </c>
      <c r="H12">
        <v>0.15</v>
      </c>
    </row>
    <row r="13" spans="1:8" x14ac:dyDescent="0.25">
      <c r="A13" s="3" t="s">
        <v>17</v>
      </c>
      <c r="B13">
        <v>0.45</v>
      </c>
      <c r="C13">
        <v>0.3</v>
      </c>
      <c r="D13">
        <v>0.3</v>
      </c>
      <c r="E13">
        <v>0.25</v>
      </c>
      <c r="F13">
        <v>0.375</v>
      </c>
      <c r="G13">
        <v>0.1</v>
      </c>
      <c r="H13">
        <v>0.375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EE545-834E-4DAC-9554-6E97FA0CB080}">
  <dimension ref="A1:H13"/>
  <sheetViews>
    <sheetView workbookViewId="0">
      <selection activeCell="I2" sqref="I2"/>
    </sheetView>
  </sheetViews>
  <sheetFormatPr defaultRowHeight="15" x14ac:dyDescent="0.25"/>
  <cols>
    <col min="9" max="9" width="12.26953125" customWidth="1"/>
  </cols>
  <sheetData>
    <row r="1" spans="1:8" ht="15.6" x14ac:dyDescent="0.3">
      <c r="A1" s="2" t="s">
        <v>10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ht="15.6" x14ac:dyDescent="0.3">
      <c r="A2" s="2" t="s">
        <v>50</v>
      </c>
      <c r="B2">
        <v>0.75</v>
      </c>
      <c r="C2">
        <v>0.15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25">
      <c r="A3" s="4" t="s">
        <v>12</v>
      </c>
      <c r="B3">
        <v>1</v>
      </c>
      <c r="C3">
        <v>1</v>
      </c>
      <c r="D3">
        <v>1</v>
      </c>
      <c r="E3">
        <v>0.5</v>
      </c>
      <c r="F3">
        <v>0.65</v>
      </c>
      <c r="G3">
        <v>0.25</v>
      </c>
      <c r="H3">
        <v>0.25</v>
      </c>
    </row>
    <row r="4" spans="1:8" x14ac:dyDescent="0.25">
      <c r="A4" s="3" t="s">
        <v>13</v>
      </c>
      <c r="B4">
        <v>1</v>
      </c>
      <c r="C4">
        <v>1</v>
      </c>
      <c r="D4">
        <v>0.8</v>
      </c>
      <c r="E4">
        <v>0.65</v>
      </c>
      <c r="F4">
        <v>1</v>
      </c>
      <c r="G4">
        <v>0.5</v>
      </c>
      <c r="H4">
        <v>0.35</v>
      </c>
    </row>
    <row r="5" spans="1:8" x14ac:dyDescent="0.25">
      <c r="A5" s="4" t="s">
        <v>14</v>
      </c>
      <c r="B5">
        <v>1</v>
      </c>
      <c r="C5">
        <v>1</v>
      </c>
      <c r="D5">
        <v>0.75</v>
      </c>
      <c r="E5">
        <v>0.5</v>
      </c>
      <c r="F5">
        <v>0.5</v>
      </c>
      <c r="G5">
        <v>0.4</v>
      </c>
      <c r="H5">
        <v>0.4</v>
      </c>
    </row>
    <row r="6" spans="1:8" x14ac:dyDescent="0.25">
      <c r="A6" s="3" t="s">
        <v>19</v>
      </c>
      <c r="B6">
        <v>1</v>
      </c>
      <c r="C6">
        <v>0.8</v>
      </c>
      <c r="D6">
        <v>0.5</v>
      </c>
      <c r="E6">
        <v>0.3</v>
      </c>
      <c r="F6">
        <v>0.2</v>
      </c>
      <c r="G6">
        <v>0.2</v>
      </c>
      <c r="H6">
        <v>0.3</v>
      </c>
    </row>
    <row r="7" spans="1:8" x14ac:dyDescent="0.25">
      <c r="A7" s="3" t="s">
        <v>11</v>
      </c>
      <c r="B7">
        <v>1</v>
      </c>
      <c r="C7">
        <v>0.75</v>
      </c>
      <c r="D7">
        <v>0.5</v>
      </c>
      <c r="E7">
        <v>0.5</v>
      </c>
      <c r="F7">
        <v>0.375</v>
      </c>
      <c r="G7">
        <v>0.375</v>
      </c>
      <c r="H7">
        <v>0.2</v>
      </c>
    </row>
    <row r="8" spans="1:8" x14ac:dyDescent="0.25">
      <c r="A8" s="4" t="s">
        <v>18</v>
      </c>
      <c r="B8">
        <v>1</v>
      </c>
      <c r="C8">
        <v>0.65</v>
      </c>
      <c r="D8">
        <v>0.5</v>
      </c>
      <c r="E8">
        <v>0.5</v>
      </c>
      <c r="F8">
        <v>0.5</v>
      </c>
      <c r="G8">
        <v>0.45</v>
      </c>
      <c r="H8">
        <v>0.375</v>
      </c>
    </row>
    <row r="9" spans="1:8" x14ac:dyDescent="0.25">
      <c r="A9" s="4" t="s">
        <v>15</v>
      </c>
      <c r="B9">
        <v>0.9</v>
      </c>
      <c r="C9">
        <v>0.8</v>
      </c>
      <c r="D9">
        <v>0.375</v>
      </c>
      <c r="E9">
        <v>0.5</v>
      </c>
      <c r="F9">
        <v>0.375</v>
      </c>
      <c r="G9">
        <v>0.25</v>
      </c>
      <c r="H9">
        <v>0.25</v>
      </c>
    </row>
    <row r="10" spans="1:8" x14ac:dyDescent="0.25">
      <c r="A10" s="3" t="s">
        <v>21</v>
      </c>
      <c r="B10">
        <v>1</v>
      </c>
      <c r="C10">
        <v>0.8</v>
      </c>
      <c r="D10">
        <v>0.25</v>
      </c>
      <c r="E10">
        <v>0.5</v>
      </c>
      <c r="F10">
        <v>0.25</v>
      </c>
      <c r="G10">
        <v>0.25</v>
      </c>
      <c r="H10">
        <v>0.5</v>
      </c>
    </row>
    <row r="11" spans="1:8" x14ac:dyDescent="0.25">
      <c r="A11" s="3" t="s">
        <v>16</v>
      </c>
      <c r="B11">
        <v>1</v>
      </c>
      <c r="C11">
        <v>0.8</v>
      </c>
      <c r="D11">
        <v>0.25</v>
      </c>
      <c r="E11">
        <v>0.375</v>
      </c>
      <c r="F11">
        <v>0.25</v>
      </c>
      <c r="G11">
        <v>0.3</v>
      </c>
      <c r="H11">
        <v>0.2</v>
      </c>
    </row>
    <row r="12" spans="1:8" x14ac:dyDescent="0.25">
      <c r="A12" s="4" t="s">
        <v>20</v>
      </c>
      <c r="B12">
        <v>1</v>
      </c>
      <c r="C12">
        <v>0.5</v>
      </c>
      <c r="D12">
        <v>0.5</v>
      </c>
      <c r="E12">
        <v>0.5</v>
      </c>
      <c r="F12">
        <v>0.375</v>
      </c>
      <c r="G12">
        <v>0.3</v>
      </c>
      <c r="H12">
        <v>0.5</v>
      </c>
    </row>
    <row r="13" spans="1:8" x14ac:dyDescent="0.25">
      <c r="A13" s="3" t="s">
        <v>17</v>
      </c>
      <c r="B13">
        <v>0.8</v>
      </c>
      <c r="C13">
        <v>0.6</v>
      </c>
      <c r="D13">
        <v>0.45</v>
      </c>
      <c r="E13">
        <v>0.5</v>
      </c>
      <c r="F13">
        <v>0.375</v>
      </c>
      <c r="G13">
        <v>0.25</v>
      </c>
      <c r="H13">
        <v>0.25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958B-04AA-4472-A2CB-F0EE52A37FC5}">
  <dimension ref="A2:D13"/>
  <sheetViews>
    <sheetView workbookViewId="0">
      <selection activeCell="B28" sqref="B28"/>
    </sheetView>
  </sheetViews>
  <sheetFormatPr defaultRowHeight="15" x14ac:dyDescent="0.25"/>
  <cols>
    <col min="2" max="2" width="17.54296875" bestFit="1" customWidth="1"/>
    <col min="3" max="3" width="17.36328125" bestFit="1" customWidth="1"/>
    <col min="4" max="4" width="6.81640625" bestFit="1" customWidth="1"/>
  </cols>
  <sheetData>
    <row r="2" spans="1:4" ht="15.6" x14ac:dyDescent="0.3">
      <c r="A2" s="2" t="s">
        <v>10</v>
      </c>
      <c r="B2" t="s">
        <v>29</v>
      </c>
      <c r="C2" t="s">
        <v>28</v>
      </c>
      <c r="D2" t="s">
        <v>6</v>
      </c>
    </row>
    <row r="3" spans="1:4" x14ac:dyDescent="0.25">
      <c r="A3" s="3" t="s">
        <v>11</v>
      </c>
    </row>
    <row r="4" spans="1:4" x14ac:dyDescent="0.25">
      <c r="A4" s="4" t="s">
        <v>12</v>
      </c>
    </row>
    <row r="5" spans="1:4" x14ac:dyDescent="0.25">
      <c r="A5" s="3" t="s">
        <v>13</v>
      </c>
    </row>
    <row r="6" spans="1:4" x14ac:dyDescent="0.25">
      <c r="A6" s="4" t="s">
        <v>14</v>
      </c>
    </row>
    <row r="7" spans="1:4" x14ac:dyDescent="0.25">
      <c r="A7" s="3" t="s">
        <v>16</v>
      </c>
    </row>
    <row r="8" spans="1:4" x14ac:dyDescent="0.25">
      <c r="A8" s="4" t="s">
        <v>15</v>
      </c>
    </row>
    <row r="9" spans="1:4" x14ac:dyDescent="0.25">
      <c r="A9" s="3" t="s">
        <v>17</v>
      </c>
    </row>
    <row r="10" spans="1:4" x14ac:dyDescent="0.25">
      <c r="A10" s="4" t="s">
        <v>18</v>
      </c>
    </row>
    <row r="11" spans="1:4" x14ac:dyDescent="0.25">
      <c r="A11" s="3" t="s">
        <v>19</v>
      </c>
    </row>
    <row r="12" spans="1:4" x14ac:dyDescent="0.25">
      <c r="A12" s="4" t="s">
        <v>20</v>
      </c>
    </row>
    <row r="13" spans="1:4" x14ac:dyDescent="0.25">
      <c r="A13" s="3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General Clustering</vt:lpstr>
      <vt:lpstr>Draft</vt:lpstr>
      <vt:lpstr>star</vt:lpstr>
      <vt:lpstr>starter</vt:lpstr>
      <vt:lpstr>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2020-11-05T22:35:51Z</dcterms:created>
  <dcterms:modified xsi:type="dcterms:W3CDTF">2020-11-08T14:59:52Z</dcterms:modified>
</cp:coreProperties>
</file>